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TinLine\01_Standards\Tools\"/>
    </mc:Choice>
  </mc:AlternateContent>
  <xr:revisionPtr revIDLastSave="0" documentId="13_ncr:1_{5F67E797-82B8-4753-B2D7-E4ACF7D90657}" xr6:coauthVersionLast="47" xr6:coauthVersionMax="47" xr10:uidLastSave="{00000000-0000-0000-0000-000000000000}"/>
  <bookViews>
    <workbookView xWindow="-23715" yWindow="6780" windowWidth="21600" windowHeight="12885" xr2:uid="{AAB5FBDE-D669-473C-B2F1-CBC1666D11FB}"/>
  </bookViews>
  <sheets>
    <sheet name="E.HV.01.05.03" sheetId="16" r:id="rId1"/>
    <sheet name="Lookup" sheetId="32" r:id="rId2"/>
  </sheets>
  <functionGroups builtInGroupCount="19"/>
  <definedNames>
    <definedName name="DataRng">'E.HV.01.05.03'!$C$69:$C$73</definedName>
    <definedName name="_xlnm.Print_Area" localSheetId="0">'E.HV.01.05.03'!$A$1:$L$62</definedName>
    <definedName name="Projektbezeichnung">'E.HV.01.05.03'!$G$1</definedName>
    <definedName name="Projektnummer">'E.HV.01.05.03'!$E$1</definedName>
    <definedName name="Projektpfad">'E.HV.01.05.03'!$A$2</definedName>
    <definedName name="Projektphase">'E.HV.01.05.03'!$E$3</definedName>
    <definedName name="SBEZ1">'E.HV.01.05.03'!$C$1</definedName>
    <definedName name="SBEZ2">'E.HV.01.05.03'!$C$3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1" i="16" l="1"/>
  <c r="R62" i="16" s="1"/>
  <c r="Q61" i="16"/>
  <c r="Q62" i="16" s="1"/>
  <c r="F61" i="16" l="1"/>
  <c r="S62" i="16"/>
  <c r="N61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Orlando Bassi</author>
  </authors>
  <commentList>
    <comment ref="A2" authorId="0" shapeId="0" xr:uid="{47E6AB8B-F8FB-4621-A7DA-0FA6B06552E4}">
      <text>
        <r>
          <rPr>
            <b/>
            <sz val="9"/>
            <color indexed="81"/>
            <rFont val="Segoe UI"/>
            <family val="2"/>
          </rPr>
          <t>Orlando Bassi:</t>
        </r>
        <r>
          <rPr>
            <sz val="9"/>
            <color indexed="81"/>
            <rFont val="Segoe UI"/>
            <family val="2"/>
          </rPr>
          <t xml:space="preserve">
von was ist dieser Pfad?</t>
        </r>
      </text>
    </comment>
    <comment ref="P3" authorId="0" shapeId="0" xr:uid="{52AF4D2C-7978-4586-AB5D-83DACE0D9E62}">
      <text>
        <r>
          <rPr>
            <b/>
            <sz val="10"/>
            <color indexed="81"/>
            <rFont val="Segoe UI"/>
            <family val="2"/>
          </rPr>
          <t xml:space="preserve">Zusatzabgänge müssen immer direkt unterhalb der zugeordneten Abgänge sein!
Die Reihenfolge der Sicherungen </t>
        </r>
      </text>
    </comment>
  </commentList>
</comments>
</file>

<file path=xl/sharedStrings.xml><?xml version="1.0" encoding="utf-8"?>
<sst xmlns="http://schemas.openxmlformats.org/spreadsheetml/2006/main" count="167" uniqueCount="159">
  <si>
    <t>Anschlusswert</t>
  </si>
  <si>
    <t>Gleichzeitigkeit</t>
  </si>
  <si>
    <t>Bemerkungen</t>
  </si>
  <si>
    <t>S</t>
  </si>
  <si>
    <t>cos φ</t>
  </si>
  <si>
    <t>P</t>
  </si>
  <si>
    <t>Faktor</t>
  </si>
  <si>
    <t xml:space="preserve">[kVA] </t>
  </si>
  <si>
    <t>[…]</t>
  </si>
  <si>
    <t>[kW]</t>
  </si>
  <si>
    <t>Total Leistung aller Teilanlagen</t>
  </si>
  <si>
    <t>Total Leistung inkl. Gleichzeitigkeit über alles</t>
  </si>
  <si>
    <t>cos φ […]</t>
  </si>
  <si>
    <t>Anschlussstrom [A]</t>
  </si>
  <si>
    <t>Sicherungsdaten</t>
  </si>
  <si>
    <t>Stromstärke</t>
  </si>
  <si>
    <t>Spannung</t>
  </si>
  <si>
    <t>Element</t>
  </si>
  <si>
    <t>Art</t>
  </si>
  <si>
    <t>Kabel</t>
  </si>
  <si>
    <t>S2</t>
  </si>
  <si>
    <t>P3</t>
  </si>
  <si>
    <t>Macro</t>
  </si>
  <si>
    <t>Hilfskontakt</t>
  </si>
  <si>
    <t>Aussenleiter</t>
  </si>
  <si>
    <t>Klemme</t>
  </si>
  <si>
    <t>Projekt</t>
  </si>
  <si>
    <t>Sicherungsliste</t>
  </si>
  <si>
    <t>mm²</t>
  </si>
  <si>
    <t>Klemmenposition Std</t>
  </si>
  <si>
    <t>Klemmenbezeichnung</t>
  </si>
  <si>
    <t>DALI</t>
  </si>
  <si>
    <t>[A]</t>
  </si>
  <si>
    <t>[V]</t>
  </si>
  <si>
    <t>Position</t>
  </si>
  <si>
    <t>Typ</t>
  </si>
  <si>
    <t>Zusatz</t>
  </si>
  <si>
    <t>KT1</t>
  </si>
  <si>
    <t>KT2</t>
  </si>
  <si>
    <t>KT3</t>
  </si>
  <si>
    <t>LS</t>
  </si>
  <si>
    <t>Zusatzabgang</t>
  </si>
  <si>
    <t>Vorsicherung
Einspeisung</t>
  </si>
  <si>
    <t>FI</t>
  </si>
  <si>
    <t>Testprojekt QS CAD</t>
  </si>
  <si>
    <t>FI-LS</t>
  </si>
  <si>
    <t>BMK</t>
  </si>
  <si>
    <t>FI/LS</t>
  </si>
  <si>
    <t>FIA</t>
  </si>
  <si>
    <t>FIF</t>
  </si>
  <si>
    <t>FIB</t>
  </si>
  <si>
    <t>FIB+</t>
  </si>
  <si>
    <t>LSB</t>
  </si>
  <si>
    <t>LSC</t>
  </si>
  <si>
    <t>LSD</t>
  </si>
  <si>
    <t>FIA-LS</t>
  </si>
  <si>
    <t>FIF-LS</t>
  </si>
  <si>
    <t>FIB-LS</t>
  </si>
  <si>
    <t>FIB+-LS</t>
  </si>
  <si>
    <t>FI-LSB</t>
  </si>
  <si>
    <t>FIA-LSB</t>
  </si>
  <si>
    <t>FIF-LSB</t>
  </si>
  <si>
    <t>FIB-LSB</t>
  </si>
  <si>
    <t>FIB+-LSB</t>
  </si>
  <si>
    <t>FI-LSC</t>
  </si>
  <si>
    <t>FIA-LSC</t>
  </si>
  <si>
    <t>FIF-LSC</t>
  </si>
  <si>
    <t>FIB-LSC</t>
  </si>
  <si>
    <t>FIB+-LSC</t>
  </si>
  <si>
    <t>FI-LSD</t>
  </si>
  <si>
    <t>FIA-LSD</t>
  </si>
  <si>
    <t>FIF-LSD</t>
  </si>
  <si>
    <t>FIB-LSD</t>
  </si>
  <si>
    <t>FIB+-LSD</t>
  </si>
  <si>
    <t>FIA/LS</t>
  </si>
  <si>
    <t>FIF/LS</t>
  </si>
  <si>
    <t>FIB/LS</t>
  </si>
  <si>
    <t>FIB+/LS</t>
  </si>
  <si>
    <t>FI/LSB</t>
  </si>
  <si>
    <t>FIA/LSB</t>
  </si>
  <si>
    <t>FIF/LSB</t>
  </si>
  <si>
    <t>FIB/LSB</t>
  </si>
  <si>
    <t>FIB+/LSB</t>
  </si>
  <si>
    <t>FI/LSC</t>
  </si>
  <si>
    <t>FIA/LSC</t>
  </si>
  <si>
    <t>FIF/LSC</t>
  </si>
  <si>
    <t>FIB/LSC</t>
  </si>
  <si>
    <t>FIB+/LSC</t>
  </si>
  <si>
    <t>FI/LSD</t>
  </si>
  <si>
    <t>FIA/LSD</t>
  </si>
  <si>
    <t>FIF/LSD</t>
  </si>
  <si>
    <t>FIB/LSD</t>
  </si>
  <si>
    <t>FIB+/LSD</t>
  </si>
  <si>
    <t>NH000</t>
  </si>
  <si>
    <t>NH00</t>
  </si>
  <si>
    <t>NH1</t>
  </si>
  <si>
    <t>NH2</t>
  </si>
  <si>
    <t>NH3</t>
  </si>
  <si>
    <t>Sicherungen</t>
  </si>
  <si>
    <t>Hilfskontakte</t>
  </si>
  <si>
    <t>Klemmenposition</t>
  </si>
  <si>
    <t>Klemmentyp</t>
  </si>
  <si>
    <t>Oben</t>
  </si>
  <si>
    <t>Unten</t>
  </si>
  <si>
    <t>Normal</t>
  </si>
  <si>
    <t>Direktabgang</t>
  </si>
  <si>
    <t>Kleinspannung</t>
  </si>
  <si>
    <t>ID</t>
  </si>
  <si>
    <t>Parent ID</t>
  </si>
  <si>
    <t>Zähler</t>
  </si>
  <si>
    <t>RSE</t>
  </si>
  <si>
    <t>ÜSA 3+0</t>
  </si>
  <si>
    <t>ÜSA 3+1</t>
  </si>
  <si>
    <t>ÜSA 4+0</t>
  </si>
  <si>
    <t>H:\TinLine\00_Projekte\QS\00_Projekte\002.ES</t>
  </si>
  <si>
    <t>Beschreibung 1:</t>
  </si>
  <si>
    <t>Beschreibung 2:</t>
  </si>
  <si>
    <t>HAK</t>
  </si>
  <si>
    <t>HKO</t>
  </si>
  <si>
    <t>HKS</t>
  </si>
  <si>
    <t>HKU</t>
  </si>
  <si>
    <t>Spalte1</t>
  </si>
  <si>
    <t xml:space="preserve"> 0=NS
1=KS
2=DA</t>
  </si>
  <si>
    <t>0=Normal
1=Oben
2=Unten</t>
  </si>
  <si>
    <t>Gleichzeitigkeitsfaktoren</t>
  </si>
  <si>
    <t>Absaugung, Digestorien</t>
  </si>
  <si>
    <t>0,7</t>
  </si>
  <si>
    <t>Aufzüge/Rolltreppen</t>
  </si>
  <si>
    <t>0,2 - 0,7</t>
  </si>
  <si>
    <t>Beleuchtungsanlagen</t>
  </si>
  <si>
    <t>0,7 - 0,8</t>
  </si>
  <si>
    <t>Beleuchtungsanlagen in innenliegenden Räumen</t>
  </si>
  <si>
    <t>0,7 - 0,9</t>
  </si>
  <si>
    <t>EDV Anlagen</t>
  </si>
  <si>
    <t>Experimentieranlagen</t>
  </si>
  <si>
    <t>0,2 – 0,4</t>
  </si>
  <si>
    <t>Heizung</t>
  </si>
  <si>
    <t>0,7 – 1</t>
  </si>
  <si>
    <t>Kälteanlagen</t>
  </si>
  <si>
    <t>0,8 – 1</t>
  </si>
  <si>
    <t>Küchen elektrisch ohne Energieoptimierung</t>
  </si>
  <si>
    <t>0,3 – 0,7</t>
  </si>
  <si>
    <t>Küchen elektrisch mit Energieoptimierung</t>
  </si>
  <si>
    <t>0,5 – 0,8</t>
  </si>
  <si>
    <t>Lastenaufzüge, Krananlagen</t>
  </si>
  <si>
    <t>0,2</t>
  </si>
  <si>
    <t>Lüftungsanlagen, kontrollierte Lüftung</t>
  </si>
  <si>
    <t>Steckdosen 230 V ohne DV (100 W/Steckd.)</t>
  </si>
  <si>
    <t>0,1 - 0,3</t>
  </si>
  <si>
    <t>Steckdosen 230 V mit DV (150 W/Steckd.)</t>
  </si>
  <si>
    <t>Steckdosen 400 V (1000 W/Steckdose)</t>
  </si>
  <si>
    <t>0,1 - 0,5</t>
  </si>
  <si>
    <t>Schmutz-, Warmwasserpumpen</t>
  </si>
  <si>
    <t>0,2 -0,4</t>
  </si>
  <si>
    <t>Umwälzpumpen</t>
  </si>
  <si>
    <t>Werkstätten</t>
  </si>
  <si>
    <t>0,2 - 0,4</t>
  </si>
  <si>
    <t>Gleichzeitigkeit èber ges. Verteilung</t>
  </si>
  <si>
    <t>Anschlussstrom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</si>
</sst>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0\ &quot;A&quot;"/>
    <numFmt numFmtId="165" formatCode="0\ &quot;V&quot;"/>
    <numFmt numFmtId="166" formatCode="0.00\ &quot;kW&quot;"/>
    <numFmt numFmtId="167" formatCode="0.00\ &quot;kVA&quot;"/>
    <numFmt numFmtId="168" formatCode="0.00\ &quot;A&quot;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indexed="81"/>
      <name val="Segoe UI"/>
      <family val="2"/>
    </font>
    <font>
      <sz val="9"/>
      <color indexed="81"/>
      <name val="Segoe UI"/>
      <family val="2"/>
    </font>
    <font>
      <sz val="8"/>
      <color theme="0"/>
      <name val="Calibri"/>
      <family val="2"/>
      <scheme val="minor"/>
    </font>
    <font>
      <b/>
      <sz val="9"/>
      <color indexed="8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5" fillId="4" borderId="7" applyNumberFormat="0" applyAlignment="0" applyProtection="0"/>
  </cellStyleXfs>
  <cellXfs count="49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" fillId="2" borderId="4" xfId="0" applyFont="1" applyFill="1" applyBorder="1" applyAlignment="1">
      <alignment horizontal="centerContinuous"/>
    </xf>
    <xf numFmtId="0" fontId="1" fillId="2" borderId="5" xfId="0" applyFont="1" applyFill="1" applyBorder="1" applyAlignment="1">
      <alignment horizontal="centerContinuous"/>
    </xf>
    <xf numFmtId="0" fontId="1" fillId="2" borderId="6" xfId="0" applyFont="1" applyFill="1" applyBorder="1" applyAlignment="1">
      <alignment horizontal="centerContinuous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1" fillId="0" borderId="3" xfId="0" applyFont="1" applyBorder="1"/>
    <xf numFmtId="0" fontId="1" fillId="0" borderId="0" xfId="0" applyFont="1"/>
    <xf numFmtId="0" fontId="1" fillId="3" borderId="0" xfId="0" applyFont="1" applyFill="1"/>
    <xf numFmtId="0" fontId="5" fillId="4" borderId="7" xfId="3"/>
    <xf numFmtId="0" fontId="6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168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1" fillId="3" borderId="0" xfId="0" applyFont="1" applyFill="1" applyAlignment="1">
      <alignment horizontal="right"/>
    </xf>
    <xf numFmtId="168" fontId="1" fillId="3" borderId="0" xfId="0" applyNumberFormat="1" applyFont="1" applyFill="1"/>
    <xf numFmtId="2" fontId="1" fillId="3" borderId="0" xfId="0" applyNumberFormat="1" applyFont="1" applyFill="1"/>
    <xf numFmtId="167" fontId="1" fillId="3" borderId="0" xfId="0" applyNumberFormat="1" applyFont="1" applyFill="1"/>
    <xf numFmtId="166" fontId="1" fillId="3" borderId="0" xfId="0" applyNumberFormat="1" applyFont="1" applyFill="1"/>
    <xf numFmtId="9" fontId="0" fillId="0" borderId="1" xfId="1" applyFont="1" applyFill="1" applyBorder="1" applyAlignment="1">
      <alignment horizontal="center"/>
    </xf>
    <xf numFmtId="0" fontId="1" fillId="2" borderId="8" xfId="0" applyFont="1" applyFill="1" applyBorder="1" applyAlignment="1">
      <alignment horizontal="centerContinuous"/>
    </xf>
    <xf numFmtId="9" fontId="0" fillId="0" borderId="0" xfId="1" applyFont="1" applyFill="1" applyAlignment="1">
      <alignment horizontal="center"/>
    </xf>
    <xf numFmtId="0" fontId="0" fillId="2" borderId="0" xfId="0" applyFill="1" applyAlignment="1">
      <alignment wrapText="1"/>
    </xf>
    <xf numFmtId="0" fontId="0" fillId="5" borderId="0" xfId="0" applyFill="1"/>
    <xf numFmtId="0" fontId="0" fillId="5" borderId="1" xfId="0" applyFill="1" applyBorder="1" applyAlignment="1">
      <alignment horizontal="center"/>
    </xf>
    <xf numFmtId="9" fontId="0" fillId="0" borderId="0" xfId="0" applyNumberFormat="1"/>
    <xf numFmtId="0" fontId="0" fillId="6" borderId="0" xfId="0" applyFill="1"/>
    <xf numFmtId="0" fontId="1" fillId="2" borderId="0" xfId="0" applyFont="1" applyFill="1" applyAlignment="1">
      <alignment horizontal="center" wrapText="1"/>
    </xf>
    <xf numFmtId="0" fontId="1" fillId="2" borderId="1" xfId="0" applyFont="1" applyFill="1" applyBorder="1" applyAlignment="1">
      <alignment horizontal="center" wrapText="1"/>
    </xf>
    <xf numFmtId="164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166" fontId="0" fillId="0" borderId="2" xfId="0" applyNumberFormat="1" applyBorder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2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8" fillId="7" borderId="10" xfId="0" applyFont="1" applyFill="1" applyBorder="1" applyAlignment="1">
      <alignment horizontal="left" vertical="center"/>
    </xf>
    <xf numFmtId="0" fontId="7" fillId="7" borderId="10" xfId="0" applyFont="1" applyFill="1" applyBorder="1" applyAlignment="1">
      <alignment horizontal="left" vertical="center"/>
    </xf>
    <xf numFmtId="9" fontId="5" fillId="4" borderId="7" xfId="3" applyNumberFormat="1"/>
    <xf numFmtId="0" fontId="11" fillId="0" borderId="0" xfId="0" applyFont="1" applyFill="1"/>
  </cellXfs>
  <cellStyles count="4">
    <cellStyle name="Eingabe" xfId="3" builtinId="20"/>
    <cellStyle name="Prozent" xfId="1" builtinId="5"/>
    <cellStyle name="Standard" xfId="0" builtinId="0"/>
    <cellStyle name="Standard 2" xfId="2" xr:uid="{8E6E0199-7C9E-4DDA-A45C-8B3B098201C1}"/>
  </cellStyles>
  <dxfs count="39"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6" formatCode="0.00\ &quot;kW&quot;"/>
    </dxf>
    <dxf>
      <numFmt numFmtId="167" formatCode="0.00\ &quot;kVA&quot;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numFmt numFmtId="167" formatCode="0.00\ &quot;kVA&quot;"/>
    </dxf>
    <dxf>
      <numFmt numFmtId="167" formatCode="0.00\ &quot;kVA&quot;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numFmt numFmtId="166" formatCode="0.00\ &quot;kW&quot;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numFmt numFmtId="13" formatCode="0%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6" formatCode="0.00\ &quot;kW&quot;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5" formatCode="0\ &quot;V&quot;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8" formatCode="0.00\ &quot;A&quot;"/>
    </dxf>
    <dxf>
      <numFmt numFmtId="164" formatCode="0\ &quot;A&quot;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fill>
        <patternFill>
          <bgColor theme="0" tint="-0.24994659260841701"/>
        </patternFill>
      </fill>
      <border>
        <top style="thin">
          <color theme="1"/>
        </top>
      </border>
    </dxf>
    <dxf>
      <font>
        <b/>
        <color theme="1"/>
      </font>
      <border>
        <bottom style="thin">
          <color theme="1"/>
        </bottom>
      </border>
    </dxf>
    <dxf>
      <font>
        <color theme="1"/>
      </font>
      <border>
        <left/>
        <right/>
        <top/>
        <bottom/>
        <vertical/>
        <horizontal/>
      </border>
    </dxf>
  </dxfs>
  <tableStyles count="1" defaultTableStyle="TableStyleMedium2" defaultPivotStyle="PivotStyleLight16">
    <tableStyle name="PZM" pivot="0" count="7" xr9:uid="{753395E9-BF12-4679-8915-DCEB77C6526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</tableStyle>
  </tableStyles>
  <colors>
    <mruColors>
      <color rgb="FFFF5050"/>
      <color rgb="FFC045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38" name="CommandButton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360873</xdr:colOff>
      <xdr:row>62</xdr:row>
      <xdr:rowOff>137703</xdr:rowOff>
    </xdr:from>
    <xdr:ext cx="5253294" cy="6067045"/>
    <xdr:pic>
      <xdr:nvPicPr>
        <xdr:cNvPr id="3" name="Grafik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rgbClr val="FFEBEB">
              <a:tint val="45000"/>
              <a:satMod val="400000"/>
            </a:srgbClr>
          </a:duotone>
        </a:blip>
        <a:stretch>
          <a:fillRect/>
        </a:stretch>
      </xdr:blipFill>
      <xdr:spPr>
        <a:xfrm>
          <a:off x="11924223" y="12243978"/>
          <a:ext cx="5253294" cy="606704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FF9E7F5-7742-4EBF-98C3-9BB62F9B42BD}" name="Table1" displayName="Table1" ref="A7:W61" totalsRowCount="1" headerRowDxfId="31" dataDxfId="30" totalsRowDxfId="29">
  <autoFilter ref="A7:W60" xr:uid="{4FF9E7F5-7742-4EBF-98C3-9BB62F9B42BD}"/>
  <sortState xmlns:xlrd2="http://schemas.microsoft.com/office/spreadsheetml/2017/richdata2" ref="A8:W60">
    <sortCondition ref="A7:A60"/>
  </sortState>
  <tableColumns count="23">
    <tableColumn id="1" xr3:uid="{F5C1159D-8C57-4F6E-96C4-D5B818127955}" name="BMK" totalsRowLabel="Total Leistung aller Teilanlagen" dataDxfId="28"/>
    <tableColumn id="2" xr3:uid="{7D11100E-6867-4A41-B8F8-34A7714EE094}" name="KT1" dataDxfId="27"/>
    <tableColumn id="17" xr3:uid="{A4113F88-B789-4F0C-A01A-AA57F9AD7793}" name="KT2" dataDxfId="26"/>
    <tableColumn id="3" xr3:uid="{15CD9C77-0569-4943-94AA-5A4071DC4B57}" name="KT3" dataDxfId="25"/>
    <tableColumn id="4" xr3:uid="{BB5483B4-C87E-410A-8D23-B0E1E6E94294}" name="Kabel" totalsRowLabel="Anschlussstrom [A]" dataDxfId="24" totalsRowDxfId="23"/>
    <tableColumn id="5" xr3:uid="{22D1276C-95EA-4C7A-B7CA-E43FBB778353}" name="Stromstärke" totalsRowFunction="custom" dataDxfId="22" totalsRowDxfId="21">
      <totalsRowFormula>Q62*1000/(400*SQRT(3))</totalsRowFormula>
    </tableColumn>
    <tableColumn id="6" xr3:uid="{578FB7EB-BE41-4B5F-B163-739FB9202A77}" name="Spannung" dataDxfId="20"/>
    <tableColumn id="7" xr3:uid="{EBDD2475-136A-472C-A753-F9B041388751}" name="Element" dataDxfId="19"/>
    <tableColumn id="16" xr3:uid="{2A9B4F04-B7BF-4E0A-836D-7DE812C99BAC}" name="Hilfskontakt" dataDxfId="18"/>
    <tableColumn id="18" xr3:uid="{55E4F10D-9357-4107-B3DA-A4C7A433676E}" name="Position" dataDxfId="17"/>
    <tableColumn id="19" xr3:uid="{25E09F20-9624-4212-B761-49AB1F8F75D6}" name="Typ" dataDxfId="16"/>
    <tableColumn id="23" xr3:uid="{2CB1172A-D9A6-4C2E-94D2-91DF812E786D}" name="DALI" dataDxfId="15"/>
    <tableColumn id="8" xr3:uid="{82FFD087-335E-4830-A2A2-9E37AB56B725}" name="S" totalsRowLabel="cos φ […]" dataDxfId="14" totalsRowDxfId="13"/>
    <tableColumn id="9" xr3:uid="{1D0F42D3-4617-485D-8C34-6E684901BA74}" name="cos φ" totalsRowFunction="custom" dataDxfId="12" totalsRowDxfId="11">
      <totalsRowFormula>IFERROR(R62/Q62,"")</totalsRowFormula>
    </tableColumn>
    <tableColumn id="10" xr3:uid="{49DA7187-86DF-453B-8042-6B124B498A6A}" name="P" dataDxfId="10"/>
    <tableColumn id="11" xr3:uid="{6B57838F-1F3E-49D7-B002-0A2A63EDF56D}" name="Faktor" dataDxfId="9"/>
    <tableColumn id="12" xr3:uid="{7FB8DBFA-8859-474E-ABC6-AFBB14D4E871}" name="S2" totalsRowFunction="custom" dataDxfId="8" totalsRowDxfId="7">
      <totalsRowFormula>SUBTOTAL(109,Table1[S2])-Q8</totalsRowFormula>
    </tableColumn>
    <tableColumn id="13" xr3:uid="{9A677A02-C7F1-4549-B13C-9837E1D7C495}" name="P3" totalsRowFunction="custom" dataDxfId="6" totalsRowDxfId="5">
      <totalsRowFormula>SUBTOTAL(109,Table1[P3])-R8</totalsRowFormula>
    </tableColumn>
    <tableColumn id="14" xr3:uid="{B250236B-784A-4E33-A8D1-EBF4F10AB85D}" name="Bemerkungen" totalsRowLabel="Anschlussstrom" dataDxfId="4"/>
    <tableColumn id="25" xr3:uid="{6EFE7BBD-F02B-4423-BBDD-A38F33A837DA}" name="ID" dataDxfId="3"/>
    <tableColumn id="24" xr3:uid="{FAE48576-8471-4737-949C-59EE9481098E}" name="Parent ID" dataDxfId="2"/>
    <tableColumn id="15" xr3:uid="{9BEA3D8A-1A12-4323-BB35-B7832C7F9E5C}" name="Macro" dataDxfId="1"/>
    <tableColumn id="21" xr3:uid="{CC8157DA-54BB-4AA4-B556-791C5159E4AA}" name="Aussenleiter" dataDxfId="0"/>
  </tableColumns>
  <tableStyleInfo name="PZM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E0EBC85-5471-418A-919C-7CF3127DBFF0}" name="Sicherungen" displayName="Sicherungen" ref="A1:A61" totalsRowShown="0">
  <autoFilter ref="A1:A61" xr:uid="{CE0EBC85-5471-418A-919C-7CF3127DBFF0}"/>
  <tableColumns count="1">
    <tableColumn id="1" xr3:uid="{4A269CD3-E322-4EBC-B504-512BB5C25E70}" name="Sicherungen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2B09FC9-AD48-485D-80BF-8CE355042C5C}" name="Tabelle5" displayName="Tabelle5" ref="C1:C4" totalsRowShown="0">
  <autoFilter ref="C1:C4" xr:uid="{A2B09FC9-AD48-485D-80BF-8CE355042C5C}"/>
  <tableColumns count="1">
    <tableColumn id="1" xr3:uid="{98431BC7-D407-438C-A36D-FF9488B721C0}" name="Hilfskontakte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9FB4901-F811-4ED1-97E9-08325543C48A}" name="Tabelle6" displayName="Tabelle6" ref="H1:I4" totalsRowShown="0">
  <autoFilter ref="H1:I4" xr:uid="{99FB4901-F811-4ED1-97E9-08325543C48A}"/>
  <tableColumns count="2">
    <tableColumn id="1" xr3:uid="{E4E3D546-2C6F-410B-9978-75AA437A9D8F}" name="Klemmentyp"/>
    <tableColumn id="2" xr3:uid="{FA23BECD-9CD1-4140-86A6-3DF6AFD0CAA6}" name="Spalte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A63A507-6E0E-4E6A-99A5-6CE420A75F58}" name="Tabelle8" displayName="Tabelle8" ref="E1:F4" totalsRowShown="0">
  <autoFilter ref="E1:F4" xr:uid="{6A63A507-6E0E-4E6A-99A5-6CE420A75F58}"/>
  <tableColumns count="2">
    <tableColumn id="1" xr3:uid="{E3A9068C-3257-48D3-8143-A9BFFC42C590}" name="Klemmenposition"/>
    <tableColumn id="2" xr3:uid="{CE1EEEF2-AB84-4458-B26A-717AD57B457F}" name="Spalte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EEDC4-B5C0-4080-A603-753FB4A4FDE7}">
  <sheetPr codeName="wsList"/>
  <dimension ref="A1:Z62"/>
  <sheetViews>
    <sheetView tabSelected="1" zoomScale="70" zoomScaleNormal="70" zoomScaleSheetLayoutView="100" workbookViewId="0">
      <selection activeCell="B13" sqref="B13"/>
    </sheetView>
  </sheetViews>
  <sheetFormatPr baseColWidth="10" defaultColWidth="11.42578125" defaultRowHeight="15" x14ac:dyDescent="0.25"/>
  <cols>
    <col min="1" max="1" width="11.42578125" customWidth="1"/>
    <col min="2" max="4" width="28.5703125" customWidth="1"/>
    <col min="5" max="9" width="11.42578125" customWidth="1"/>
    <col min="10" max="10" width="10.42578125" customWidth="1"/>
    <col min="11" max="11" width="8.7109375" customWidth="1"/>
    <col min="12" max="12" width="8.42578125" customWidth="1"/>
    <col min="13" max="18" width="11.42578125" customWidth="1"/>
    <col min="19" max="19" width="51.42578125" customWidth="1"/>
    <col min="20" max="20" width="10" hidden="1" customWidth="1"/>
    <col min="21" max="21" width="11.42578125" hidden="1" customWidth="1"/>
    <col min="22" max="22" width="29.140625" hidden="1" customWidth="1"/>
    <col min="23" max="23" width="11.42578125" hidden="1" customWidth="1"/>
    <col min="24" max="24" width="11.42578125" customWidth="1"/>
    <col min="25" max="25" width="48.42578125" bestFit="1" customWidth="1"/>
    <col min="26" max="26" width="8.140625" bestFit="1" customWidth="1"/>
    <col min="29" max="29" width="45.28515625" bestFit="1" customWidth="1"/>
  </cols>
  <sheetData>
    <row r="1" spans="1:26" ht="18.75" customHeight="1" x14ac:dyDescent="0.25">
      <c r="A1" s="10" t="s">
        <v>26</v>
      </c>
      <c r="B1" t="s">
        <v>115</v>
      </c>
      <c r="C1" s="12"/>
      <c r="E1" s="12"/>
      <c r="G1" s="12"/>
      <c r="J1" s="8" t="s">
        <v>29</v>
      </c>
      <c r="K1" s="12" t="s">
        <v>104</v>
      </c>
    </row>
    <row r="2" spans="1:26" ht="7.5" customHeight="1" x14ac:dyDescent="0.25">
      <c r="A2" s="48" t="s">
        <v>114</v>
      </c>
      <c r="B2" s="48" t="s">
        <v>44</v>
      </c>
      <c r="J2" s="8"/>
    </row>
    <row r="3" spans="1:26" ht="18.75" x14ac:dyDescent="0.3">
      <c r="A3" s="13" t="s">
        <v>27</v>
      </c>
      <c r="B3" t="s">
        <v>116</v>
      </c>
      <c r="C3" s="12"/>
      <c r="E3" s="12"/>
      <c r="J3" s="8" t="s">
        <v>30</v>
      </c>
      <c r="K3" s="12" t="s">
        <v>28</v>
      </c>
      <c r="P3" s="32"/>
    </row>
    <row r="4" spans="1:26" ht="7.5" customHeight="1" x14ac:dyDescent="0.25"/>
    <row r="5" spans="1:26" ht="15.75" thickBot="1" x14ac:dyDescent="0.3">
      <c r="A5" s="16"/>
      <c r="B5" s="16"/>
      <c r="C5" s="16"/>
      <c r="D5" s="16"/>
      <c r="E5" s="16"/>
      <c r="F5" s="3" t="s">
        <v>14</v>
      </c>
      <c r="G5" s="4"/>
      <c r="H5" s="4"/>
      <c r="I5" s="5"/>
      <c r="J5" s="3" t="s">
        <v>25</v>
      </c>
      <c r="K5" s="4"/>
      <c r="L5" s="4"/>
      <c r="M5" s="3" t="s">
        <v>0</v>
      </c>
      <c r="N5" s="4"/>
      <c r="O5" s="5"/>
      <c r="P5" s="3" t="s">
        <v>1</v>
      </c>
      <c r="Q5" s="4"/>
      <c r="R5" s="5"/>
      <c r="S5" s="16"/>
      <c r="T5" s="16"/>
      <c r="U5" s="16"/>
      <c r="V5" s="29"/>
      <c r="W5" s="29"/>
    </row>
    <row r="6" spans="1:26" ht="45" x14ac:dyDescent="0.25">
      <c r="A6" s="16"/>
      <c r="B6" s="28" t="s">
        <v>42</v>
      </c>
      <c r="C6" s="16" t="s">
        <v>41</v>
      </c>
      <c r="D6" s="16"/>
      <c r="E6" s="16"/>
      <c r="F6" s="6" t="s">
        <v>32</v>
      </c>
      <c r="G6" s="14" t="s">
        <v>33</v>
      </c>
      <c r="H6" s="14" t="s">
        <v>18</v>
      </c>
      <c r="I6" s="7"/>
      <c r="J6" s="34" t="s">
        <v>123</v>
      </c>
      <c r="K6" s="33" t="s">
        <v>122</v>
      </c>
      <c r="L6" s="26" t="s">
        <v>36</v>
      </c>
      <c r="M6" s="6" t="s">
        <v>7</v>
      </c>
      <c r="N6" s="14" t="s">
        <v>8</v>
      </c>
      <c r="O6" s="7" t="s">
        <v>9</v>
      </c>
      <c r="P6" s="6" t="s">
        <v>8</v>
      </c>
      <c r="Q6" s="14" t="s">
        <v>7</v>
      </c>
      <c r="R6" s="7" t="s">
        <v>9</v>
      </c>
      <c r="S6" s="16"/>
      <c r="T6" s="16"/>
      <c r="U6" s="16"/>
      <c r="V6" s="29"/>
      <c r="W6" s="29"/>
      <c r="Y6" s="45" t="s">
        <v>124</v>
      </c>
      <c r="Z6" s="46"/>
    </row>
    <row r="7" spans="1:26" x14ac:dyDescent="0.25">
      <c r="A7" s="16" t="s">
        <v>46</v>
      </c>
      <c r="B7" s="16" t="s">
        <v>37</v>
      </c>
      <c r="C7" s="16" t="s">
        <v>38</v>
      </c>
      <c r="D7" s="16" t="s">
        <v>39</v>
      </c>
      <c r="E7" s="16" t="s">
        <v>19</v>
      </c>
      <c r="F7" s="1" t="s">
        <v>15</v>
      </c>
      <c r="G7" s="15" t="s">
        <v>16</v>
      </c>
      <c r="H7" s="15" t="s">
        <v>17</v>
      </c>
      <c r="I7" s="2" t="s">
        <v>23</v>
      </c>
      <c r="J7" s="1" t="s">
        <v>34</v>
      </c>
      <c r="K7" s="15" t="s">
        <v>35</v>
      </c>
      <c r="L7" s="1" t="s">
        <v>31</v>
      </c>
      <c r="M7" s="1" t="s">
        <v>3</v>
      </c>
      <c r="N7" s="15" t="s">
        <v>4</v>
      </c>
      <c r="O7" s="2" t="s">
        <v>5</v>
      </c>
      <c r="P7" s="1" t="s">
        <v>6</v>
      </c>
      <c r="Q7" s="15" t="s">
        <v>20</v>
      </c>
      <c r="R7" s="2" t="s">
        <v>21</v>
      </c>
      <c r="S7" s="16" t="s">
        <v>2</v>
      </c>
      <c r="T7" s="16" t="s">
        <v>107</v>
      </c>
      <c r="U7" s="16" t="s">
        <v>108</v>
      </c>
      <c r="V7" s="30" t="s">
        <v>22</v>
      </c>
      <c r="W7" s="30" t="s">
        <v>24</v>
      </c>
      <c r="Y7" s="46" t="s">
        <v>125</v>
      </c>
      <c r="Z7" s="46" t="s">
        <v>126</v>
      </c>
    </row>
    <row r="8" spans="1:26" x14ac:dyDescent="0.25">
      <c r="F8" s="35"/>
      <c r="G8" s="36"/>
      <c r="H8" s="37"/>
      <c r="I8" s="38"/>
      <c r="J8" s="39"/>
      <c r="K8" s="37"/>
      <c r="L8" s="39"/>
      <c r="M8" s="44"/>
      <c r="N8" s="27"/>
      <c r="O8" s="41"/>
      <c r="P8" s="25"/>
      <c r="Q8" s="42"/>
      <c r="R8" s="43"/>
      <c r="V8" s="37"/>
      <c r="W8" s="37"/>
      <c r="Y8" s="46" t="s">
        <v>127</v>
      </c>
      <c r="Z8" s="46" t="s">
        <v>128</v>
      </c>
    </row>
    <row r="9" spans="1:26" x14ac:dyDescent="0.25">
      <c r="F9" s="35"/>
      <c r="G9" s="36"/>
      <c r="H9" s="37"/>
      <c r="I9" s="38"/>
      <c r="J9" s="39"/>
      <c r="K9" s="37"/>
      <c r="L9" s="40"/>
      <c r="M9" s="44"/>
      <c r="N9" s="27"/>
      <c r="O9" s="41"/>
      <c r="P9" s="25"/>
      <c r="Q9" s="42"/>
      <c r="R9" s="43"/>
      <c r="V9" s="37"/>
      <c r="W9" s="37"/>
      <c r="Y9" s="46" t="s">
        <v>129</v>
      </c>
      <c r="Z9" s="46" t="s">
        <v>130</v>
      </c>
    </row>
    <row r="10" spans="1:26" x14ac:dyDescent="0.25">
      <c r="F10" s="35"/>
      <c r="G10" s="36"/>
      <c r="H10" s="37"/>
      <c r="I10" s="38"/>
      <c r="J10" s="39"/>
      <c r="K10" s="37"/>
      <c r="L10" s="40"/>
      <c r="M10" s="44"/>
      <c r="N10" s="27"/>
      <c r="O10" s="41"/>
      <c r="P10" s="25"/>
      <c r="Q10" s="42"/>
      <c r="R10" s="43"/>
      <c r="V10" s="37"/>
      <c r="W10" s="37"/>
      <c r="Y10" s="46" t="s">
        <v>131</v>
      </c>
      <c r="Z10" s="46" t="s">
        <v>132</v>
      </c>
    </row>
    <row r="11" spans="1:26" x14ac:dyDescent="0.25">
      <c r="F11" s="35"/>
      <c r="G11" s="36"/>
      <c r="H11" s="37"/>
      <c r="I11" s="38"/>
      <c r="J11" s="39"/>
      <c r="K11" s="37"/>
      <c r="L11" s="40"/>
      <c r="M11" s="44"/>
      <c r="N11" s="27"/>
      <c r="O11" s="41"/>
      <c r="P11" s="25"/>
      <c r="Q11" s="42"/>
      <c r="R11" s="43"/>
      <c r="V11" s="37"/>
      <c r="W11" s="37"/>
      <c r="Y11" s="46" t="s">
        <v>133</v>
      </c>
      <c r="Z11" s="46">
        <v>1</v>
      </c>
    </row>
    <row r="12" spans="1:26" x14ac:dyDescent="0.25">
      <c r="F12" s="35"/>
      <c r="G12" s="36"/>
      <c r="H12" s="37"/>
      <c r="I12" s="38"/>
      <c r="J12" s="39"/>
      <c r="K12" s="37"/>
      <c r="L12" s="40"/>
      <c r="M12" s="44"/>
      <c r="N12" s="27"/>
      <c r="O12" s="41"/>
      <c r="P12" s="25"/>
      <c r="Q12" s="42"/>
      <c r="R12" s="43"/>
      <c r="V12" s="37"/>
      <c r="W12" s="37"/>
      <c r="Y12" s="46" t="s">
        <v>134</v>
      </c>
      <c r="Z12" s="46" t="s">
        <v>135</v>
      </c>
    </row>
    <row r="13" spans="1:26" x14ac:dyDescent="0.25">
      <c r="F13" s="35"/>
      <c r="G13" s="36"/>
      <c r="H13" s="37"/>
      <c r="I13" s="38"/>
      <c r="J13" s="39"/>
      <c r="K13" s="37"/>
      <c r="L13" s="40"/>
      <c r="M13" s="44"/>
      <c r="N13" s="27"/>
      <c r="O13" s="41"/>
      <c r="P13" s="25"/>
      <c r="Q13" s="42"/>
      <c r="R13" s="43"/>
      <c r="V13" s="37"/>
      <c r="W13" s="37"/>
      <c r="Y13" s="46" t="s">
        <v>136</v>
      </c>
      <c r="Z13" s="46" t="s">
        <v>137</v>
      </c>
    </row>
    <row r="14" spans="1:26" x14ac:dyDescent="0.25">
      <c r="F14" s="35"/>
      <c r="G14" s="36"/>
      <c r="H14" s="37"/>
      <c r="I14" s="38"/>
      <c r="J14" s="39"/>
      <c r="K14" s="37"/>
      <c r="L14" s="40"/>
      <c r="M14" s="44"/>
      <c r="N14" s="27"/>
      <c r="O14" s="41"/>
      <c r="P14" s="25"/>
      <c r="Q14" s="42"/>
      <c r="R14" s="43"/>
      <c r="V14" s="37"/>
      <c r="W14" s="37"/>
      <c r="Y14" s="46" t="s">
        <v>138</v>
      </c>
      <c r="Z14" s="46" t="s">
        <v>139</v>
      </c>
    </row>
    <row r="15" spans="1:26" x14ac:dyDescent="0.25">
      <c r="F15" s="35"/>
      <c r="G15" s="36"/>
      <c r="H15" s="37"/>
      <c r="I15" s="38"/>
      <c r="J15" s="39"/>
      <c r="K15" s="37"/>
      <c r="L15" s="40"/>
      <c r="M15" s="44"/>
      <c r="N15" s="27"/>
      <c r="O15" s="41"/>
      <c r="P15" s="25"/>
      <c r="Q15" s="42"/>
      <c r="R15" s="43"/>
      <c r="V15" s="37"/>
      <c r="W15" s="37"/>
      <c r="Y15" s="46" t="s">
        <v>140</v>
      </c>
      <c r="Z15" s="46" t="s">
        <v>141</v>
      </c>
    </row>
    <row r="16" spans="1:26" x14ac:dyDescent="0.25">
      <c r="F16" s="35"/>
      <c r="G16" s="36"/>
      <c r="H16" s="37"/>
      <c r="I16" s="38"/>
      <c r="J16" s="39"/>
      <c r="K16" s="37"/>
      <c r="L16" s="40"/>
      <c r="M16" s="44"/>
      <c r="N16" s="27"/>
      <c r="O16" s="41"/>
      <c r="P16" s="25"/>
      <c r="Q16" s="42"/>
      <c r="R16" s="43"/>
      <c r="V16" s="37"/>
      <c r="W16" s="37"/>
      <c r="Y16" s="46" t="s">
        <v>142</v>
      </c>
      <c r="Z16" s="46" t="s">
        <v>143</v>
      </c>
    </row>
    <row r="17" spans="6:26" x14ac:dyDescent="0.25">
      <c r="F17" s="35"/>
      <c r="G17" s="36"/>
      <c r="H17" s="37"/>
      <c r="I17" s="38"/>
      <c r="J17" s="39"/>
      <c r="K17" s="37"/>
      <c r="L17" s="40"/>
      <c r="M17" s="44"/>
      <c r="N17" s="27"/>
      <c r="O17" s="41"/>
      <c r="P17" s="25"/>
      <c r="Q17" s="42"/>
      <c r="R17" s="43"/>
      <c r="V17" s="37"/>
      <c r="W17" s="37"/>
      <c r="Y17" s="46" t="s">
        <v>144</v>
      </c>
      <c r="Z17" s="46" t="s">
        <v>145</v>
      </c>
    </row>
    <row r="18" spans="6:26" x14ac:dyDescent="0.25">
      <c r="F18" s="35"/>
      <c r="G18" s="36"/>
      <c r="H18" s="37"/>
      <c r="I18" s="38"/>
      <c r="J18" s="39"/>
      <c r="K18" s="37"/>
      <c r="L18" s="40"/>
      <c r="M18" s="44"/>
      <c r="N18" s="27"/>
      <c r="O18" s="41"/>
      <c r="P18" s="25"/>
      <c r="Q18" s="42"/>
      <c r="R18" s="43"/>
      <c r="V18" s="37"/>
      <c r="W18" s="37"/>
      <c r="Y18" s="46" t="s">
        <v>146</v>
      </c>
      <c r="Z18" s="46" t="s">
        <v>126</v>
      </c>
    </row>
    <row r="19" spans="6:26" x14ac:dyDescent="0.25">
      <c r="F19" s="35"/>
      <c r="G19" s="36"/>
      <c r="H19" s="37"/>
      <c r="I19" s="38"/>
      <c r="J19" s="39"/>
      <c r="K19" s="37"/>
      <c r="L19" s="40"/>
      <c r="M19" s="44"/>
      <c r="N19" s="27"/>
      <c r="O19" s="41"/>
      <c r="P19" s="25"/>
      <c r="Q19" s="42"/>
      <c r="R19" s="43"/>
      <c r="V19" s="37"/>
      <c r="W19" s="37"/>
      <c r="Y19" s="45" t="s">
        <v>147</v>
      </c>
      <c r="Z19" s="45" t="s">
        <v>148</v>
      </c>
    </row>
    <row r="20" spans="6:26" x14ac:dyDescent="0.25">
      <c r="F20" s="35"/>
      <c r="G20" s="36"/>
      <c r="H20" s="37"/>
      <c r="I20" s="38"/>
      <c r="J20" s="39"/>
      <c r="K20" s="37"/>
      <c r="L20" s="40"/>
      <c r="M20" s="44"/>
      <c r="N20" s="27"/>
      <c r="O20" s="41"/>
      <c r="P20" s="25"/>
      <c r="Q20" s="42"/>
      <c r="R20" s="43"/>
      <c r="V20" s="37"/>
      <c r="W20" s="37"/>
      <c r="Y20" s="46" t="s">
        <v>149</v>
      </c>
      <c r="Z20" s="46" t="s">
        <v>132</v>
      </c>
    </row>
    <row r="21" spans="6:26" x14ac:dyDescent="0.25">
      <c r="F21" s="35"/>
      <c r="G21" s="36"/>
      <c r="H21" s="37"/>
      <c r="I21" s="38"/>
      <c r="J21" s="39"/>
      <c r="K21" s="37"/>
      <c r="L21" s="40"/>
      <c r="M21" s="44"/>
      <c r="N21" s="27"/>
      <c r="O21" s="41"/>
      <c r="P21" s="25"/>
      <c r="Q21" s="42"/>
      <c r="R21" s="43"/>
      <c r="V21" s="37"/>
      <c r="W21" s="37"/>
      <c r="Y21" s="45" t="s">
        <v>150</v>
      </c>
      <c r="Z21" s="45" t="s">
        <v>151</v>
      </c>
    </row>
    <row r="22" spans="6:26" x14ac:dyDescent="0.25">
      <c r="F22" s="35"/>
      <c r="G22" s="36"/>
      <c r="H22" s="37"/>
      <c r="I22" s="38"/>
      <c r="J22" s="39"/>
      <c r="K22" s="37"/>
      <c r="L22" s="40"/>
      <c r="M22" s="44"/>
      <c r="N22" s="27"/>
      <c r="O22" s="41"/>
      <c r="P22" s="25"/>
      <c r="Q22" s="42"/>
      <c r="R22" s="43"/>
      <c r="V22" s="37"/>
      <c r="W22" s="37"/>
      <c r="Y22" s="46" t="s">
        <v>152</v>
      </c>
      <c r="Z22" s="46" t="s">
        <v>153</v>
      </c>
    </row>
    <row r="23" spans="6:26" x14ac:dyDescent="0.25">
      <c r="F23" s="35"/>
      <c r="G23" s="36"/>
      <c r="H23" s="37"/>
      <c r="I23" s="38"/>
      <c r="J23" s="39"/>
      <c r="K23" s="37"/>
      <c r="L23" s="40"/>
      <c r="M23" s="44"/>
      <c r="N23" s="27"/>
      <c r="O23" s="41"/>
      <c r="P23" s="25"/>
      <c r="Q23" s="42"/>
      <c r="R23" s="43"/>
      <c r="V23" s="37"/>
      <c r="W23" s="37"/>
      <c r="Y23" s="46" t="s">
        <v>154</v>
      </c>
      <c r="Z23" s="46">
        <v>1</v>
      </c>
    </row>
    <row r="24" spans="6:26" x14ac:dyDescent="0.25">
      <c r="F24" s="35"/>
      <c r="G24" s="36"/>
      <c r="H24" s="37"/>
      <c r="I24" s="38"/>
      <c r="J24" s="39"/>
      <c r="K24" s="37"/>
      <c r="L24" s="40"/>
      <c r="M24" s="44"/>
      <c r="N24" s="27"/>
      <c r="O24" s="41"/>
      <c r="P24" s="25"/>
      <c r="Q24" s="42"/>
      <c r="R24" s="43"/>
      <c r="V24" s="37"/>
      <c r="W24" s="37"/>
      <c r="Y24" s="46" t="s">
        <v>155</v>
      </c>
      <c r="Z24" s="46" t="s">
        <v>156</v>
      </c>
    </row>
    <row r="25" spans="6:26" x14ac:dyDescent="0.25">
      <c r="F25" s="35"/>
      <c r="G25" s="36"/>
      <c r="H25" s="37"/>
      <c r="I25" s="38"/>
      <c r="J25" s="39"/>
      <c r="K25" s="37"/>
      <c r="L25" s="40"/>
      <c r="M25" s="44"/>
      <c r="N25" s="27"/>
      <c r="O25" s="41"/>
      <c r="P25" s="25"/>
      <c r="Q25" s="42"/>
      <c r="R25" s="43"/>
      <c r="V25" s="37"/>
      <c r="W25" s="37"/>
    </row>
    <row r="26" spans="6:26" x14ac:dyDescent="0.25">
      <c r="F26" s="35"/>
      <c r="G26" s="36"/>
      <c r="H26" s="37"/>
      <c r="I26" s="38"/>
      <c r="J26" s="39"/>
      <c r="K26" s="37"/>
      <c r="L26" s="40"/>
      <c r="M26" s="44"/>
      <c r="N26" s="27"/>
      <c r="O26" s="41"/>
      <c r="P26" s="25"/>
      <c r="Q26" s="42"/>
      <c r="R26" s="43"/>
      <c r="V26" s="37"/>
      <c r="W26" s="37"/>
    </row>
    <row r="27" spans="6:26" x14ac:dyDescent="0.25">
      <c r="F27" s="35"/>
      <c r="G27" s="36"/>
      <c r="H27" s="37"/>
      <c r="I27" s="38"/>
      <c r="J27" s="39"/>
      <c r="K27" s="37"/>
      <c r="L27" s="40"/>
      <c r="M27" s="44"/>
      <c r="N27" s="27"/>
      <c r="O27" s="41"/>
      <c r="P27" s="25"/>
      <c r="Q27" s="42"/>
      <c r="R27" s="43"/>
      <c r="V27" s="37"/>
      <c r="W27" s="37"/>
    </row>
    <row r="28" spans="6:26" x14ac:dyDescent="0.25">
      <c r="F28" s="35"/>
      <c r="G28" s="36"/>
      <c r="H28" s="37"/>
      <c r="I28" s="38"/>
      <c r="J28" s="39"/>
      <c r="K28" s="37"/>
      <c r="L28" s="40"/>
      <c r="M28" s="44"/>
      <c r="N28" s="27"/>
      <c r="O28" s="41"/>
      <c r="P28" s="25"/>
      <c r="Q28" s="42"/>
      <c r="R28" s="43"/>
      <c r="V28" s="37"/>
      <c r="W28" s="37"/>
    </row>
    <row r="29" spans="6:26" x14ac:dyDescent="0.25">
      <c r="F29" s="35"/>
      <c r="G29" s="36"/>
      <c r="H29" s="37"/>
      <c r="I29" s="38"/>
      <c r="J29" s="39"/>
      <c r="K29" s="37"/>
      <c r="L29" s="40"/>
      <c r="M29" s="44"/>
      <c r="N29" s="27"/>
      <c r="O29" s="41"/>
      <c r="P29" s="25"/>
      <c r="Q29" s="42"/>
      <c r="R29" s="43"/>
      <c r="V29" s="37"/>
      <c r="W29" s="37"/>
    </row>
    <row r="30" spans="6:26" x14ac:dyDescent="0.25">
      <c r="F30" s="35"/>
      <c r="G30" s="36"/>
      <c r="H30" s="37"/>
      <c r="I30" s="38"/>
      <c r="J30" s="39"/>
      <c r="K30" s="37"/>
      <c r="L30" s="40"/>
      <c r="M30" s="44"/>
      <c r="N30" s="27"/>
      <c r="O30" s="41"/>
      <c r="P30" s="25"/>
      <c r="Q30" s="42"/>
      <c r="R30" s="43"/>
      <c r="V30" s="37"/>
      <c r="W30" s="37"/>
    </row>
    <row r="31" spans="6:26" x14ac:dyDescent="0.25">
      <c r="F31" s="35"/>
      <c r="G31" s="36"/>
      <c r="H31" s="37"/>
      <c r="I31" s="38"/>
      <c r="J31" s="39"/>
      <c r="K31" s="37"/>
      <c r="L31" s="40"/>
      <c r="M31" s="44"/>
      <c r="N31" s="27"/>
      <c r="O31" s="41"/>
      <c r="P31" s="25"/>
      <c r="Q31" s="42"/>
      <c r="R31" s="43"/>
      <c r="V31" s="37"/>
      <c r="W31" s="37"/>
    </row>
    <row r="32" spans="6:26" x14ac:dyDescent="0.25">
      <c r="F32" s="35"/>
      <c r="G32" s="36"/>
      <c r="H32" s="37"/>
      <c r="I32" s="38"/>
      <c r="J32" s="39"/>
      <c r="K32" s="37"/>
      <c r="L32" s="40"/>
      <c r="M32" s="44"/>
      <c r="N32" s="27"/>
      <c r="O32" s="41"/>
      <c r="P32" s="25"/>
      <c r="Q32" s="42"/>
      <c r="R32" s="43"/>
      <c r="V32" s="37"/>
      <c r="W32" s="37"/>
    </row>
    <row r="33" spans="6:23" x14ac:dyDescent="0.25">
      <c r="F33" s="35"/>
      <c r="G33" s="36"/>
      <c r="H33" s="37"/>
      <c r="I33" s="38"/>
      <c r="J33" s="39"/>
      <c r="K33" s="37"/>
      <c r="L33" s="40"/>
      <c r="M33" s="44"/>
      <c r="N33" s="27"/>
      <c r="O33" s="41"/>
      <c r="P33" s="25"/>
      <c r="Q33" s="42"/>
      <c r="R33" s="43"/>
      <c r="V33" s="37"/>
      <c r="W33" s="37"/>
    </row>
    <row r="34" spans="6:23" x14ac:dyDescent="0.25">
      <c r="F34" s="35"/>
      <c r="G34" s="36"/>
      <c r="H34" s="37"/>
      <c r="I34" s="38"/>
      <c r="J34" s="39"/>
      <c r="K34" s="37"/>
      <c r="L34" s="40"/>
      <c r="M34" s="44"/>
      <c r="N34" s="27"/>
      <c r="O34" s="41"/>
      <c r="P34" s="25"/>
      <c r="Q34" s="42"/>
      <c r="R34" s="43"/>
      <c r="V34" s="37"/>
      <c r="W34" s="37"/>
    </row>
    <row r="35" spans="6:23" x14ac:dyDescent="0.25">
      <c r="F35" s="35"/>
      <c r="G35" s="36"/>
      <c r="H35" s="37"/>
      <c r="I35" s="38"/>
      <c r="J35" s="39"/>
      <c r="K35" s="37"/>
      <c r="L35" s="40"/>
      <c r="M35" s="44"/>
      <c r="N35" s="27"/>
      <c r="O35" s="41"/>
      <c r="P35" s="25"/>
      <c r="Q35" s="42"/>
      <c r="R35" s="43"/>
      <c r="V35" s="37"/>
      <c r="W35" s="37"/>
    </row>
    <row r="36" spans="6:23" x14ac:dyDescent="0.25">
      <c r="F36" s="35"/>
      <c r="G36" s="36"/>
      <c r="H36" s="37"/>
      <c r="I36" s="38"/>
      <c r="J36" s="39"/>
      <c r="K36" s="37"/>
      <c r="L36" s="40"/>
      <c r="M36" s="44"/>
      <c r="N36" s="27"/>
      <c r="O36" s="41"/>
      <c r="P36" s="25"/>
      <c r="Q36" s="42"/>
      <c r="R36" s="43"/>
      <c r="V36" s="37"/>
      <c r="W36" s="37"/>
    </row>
    <row r="37" spans="6:23" x14ac:dyDescent="0.25">
      <c r="F37" s="35"/>
      <c r="G37" s="36"/>
      <c r="H37" s="37"/>
      <c r="I37" s="38"/>
      <c r="J37" s="39"/>
      <c r="K37" s="37"/>
      <c r="L37" s="40"/>
      <c r="M37" s="44"/>
      <c r="N37" s="27"/>
      <c r="O37" s="41"/>
      <c r="P37" s="25"/>
      <c r="Q37" s="42"/>
      <c r="R37" s="43"/>
      <c r="V37" s="37"/>
      <c r="W37" s="37"/>
    </row>
    <row r="38" spans="6:23" x14ac:dyDescent="0.25">
      <c r="F38" s="35"/>
      <c r="G38" s="36"/>
      <c r="H38" s="37"/>
      <c r="I38" s="38"/>
      <c r="J38" s="39"/>
      <c r="K38" s="37"/>
      <c r="L38" s="40"/>
      <c r="M38" s="44"/>
      <c r="N38" s="27"/>
      <c r="O38" s="41"/>
      <c r="P38" s="25"/>
      <c r="Q38" s="42"/>
      <c r="R38" s="43"/>
      <c r="V38" s="37"/>
      <c r="W38" s="37"/>
    </row>
    <row r="39" spans="6:23" x14ac:dyDescent="0.25">
      <c r="F39" s="35"/>
      <c r="G39" s="36"/>
      <c r="H39" s="37"/>
      <c r="I39" s="38"/>
      <c r="J39" s="39"/>
      <c r="K39" s="37"/>
      <c r="L39" s="40"/>
      <c r="M39" s="44"/>
      <c r="N39" s="27"/>
      <c r="O39" s="41"/>
      <c r="P39" s="25"/>
      <c r="Q39" s="42"/>
      <c r="R39" s="43"/>
      <c r="V39" s="37"/>
      <c r="W39" s="37"/>
    </row>
    <row r="40" spans="6:23" x14ac:dyDescent="0.25">
      <c r="F40" s="35"/>
      <c r="G40" s="36"/>
      <c r="H40" s="37"/>
      <c r="I40" s="38"/>
      <c r="J40" s="39"/>
      <c r="K40" s="37"/>
      <c r="L40" s="40"/>
      <c r="M40" s="44"/>
      <c r="N40" s="27"/>
      <c r="O40" s="41"/>
      <c r="P40" s="25"/>
      <c r="Q40" s="42"/>
      <c r="R40" s="43"/>
      <c r="V40" s="37"/>
      <c r="W40" s="37"/>
    </row>
    <row r="41" spans="6:23" x14ac:dyDescent="0.25">
      <c r="F41" s="35"/>
      <c r="G41" s="36"/>
      <c r="H41" s="37"/>
      <c r="I41" s="38"/>
      <c r="J41" s="39"/>
      <c r="K41" s="37"/>
      <c r="L41" s="40"/>
      <c r="M41" s="44"/>
      <c r="N41" s="27"/>
      <c r="O41" s="41"/>
      <c r="P41" s="25"/>
      <c r="Q41" s="42"/>
      <c r="R41" s="43"/>
      <c r="V41" s="37"/>
      <c r="W41" s="37"/>
    </row>
    <row r="42" spans="6:23" x14ac:dyDescent="0.25">
      <c r="F42" s="35"/>
      <c r="G42" s="36"/>
      <c r="H42" s="37"/>
      <c r="I42" s="38"/>
      <c r="J42" s="39"/>
      <c r="K42" s="37"/>
      <c r="L42" s="40"/>
      <c r="M42" s="44"/>
      <c r="N42" s="27"/>
      <c r="O42" s="41"/>
      <c r="P42" s="25"/>
      <c r="Q42" s="42"/>
      <c r="R42" s="43"/>
      <c r="V42" s="37"/>
      <c r="W42" s="37"/>
    </row>
    <row r="43" spans="6:23" x14ac:dyDescent="0.25">
      <c r="F43" s="35"/>
      <c r="G43" s="36"/>
      <c r="H43" s="37"/>
      <c r="I43" s="38"/>
      <c r="J43" s="39"/>
      <c r="K43" s="37"/>
      <c r="L43" s="40"/>
      <c r="M43" s="44"/>
      <c r="N43" s="27"/>
      <c r="O43" s="41"/>
      <c r="P43" s="25"/>
      <c r="Q43" s="42"/>
      <c r="R43" s="43"/>
      <c r="V43" s="37"/>
      <c r="W43" s="37"/>
    </row>
    <row r="44" spans="6:23" x14ac:dyDescent="0.25">
      <c r="F44" s="35"/>
      <c r="G44" s="36"/>
      <c r="H44" s="37"/>
      <c r="I44" s="38"/>
      <c r="J44" s="39"/>
      <c r="K44" s="37"/>
      <c r="L44" s="40"/>
      <c r="M44" s="44"/>
      <c r="N44" s="27"/>
      <c r="O44" s="41"/>
      <c r="P44" s="25"/>
      <c r="Q44" s="42"/>
      <c r="R44" s="43"/>
      <c r="V44" s="37"/>
      <c r="W44" s="37"/>
    </row>
    <row r="45" spans="6:23" x14ac:dyDescent="0.25">
      <c r="F45" s="35"/>
      <c r="G45" s="36"/>
      <c r="H45" s="37"/>
      <c r="I45" s="38"/>
      <c r="J45" s="39"/>
      <c r="K45" s="37"/>
      <c r="L45" s="40"/>
      <c r="M45" s="44"/>
      <c r="N45" s="27"/>
      <c r="O45" s="41"/>
      <c r="P45" s="25"/>
      <c r="Q45" s="42"/>
      <c r="R45" s="43"/>
      <c r="V45" s="37"/>
      <c r="W45" s="37"/>
    </row>
    <row r="46" spans="6:23" x14ac:dyDescent="0.25">
      <c r="F46" s="35"/>
      <c r="G46" s="36"/>
      <c r="H46" s="37"/>
      <c r="I46" s="38"/>
      <c r="J46" s="39"/>
      <c r="K46" s="37"/>
      <c r="L46" s="40"/>
      <c r="M46" s="44"/>
      <c r="N46" s="27"/>
      <c r="O46" s="41"/>
      <c r="P46" s="25"/>
      <c r="Q46" s="42"/>
      <c r="R46" s="43"/>
      <c r="V46" s="37"/>
      <c r="W46" s="37"/>
    </row>
    <row r="47" spans="6:23" x14ac:dyDescent="0.25">
      <c r="F47" s="35"/>
      <c r="G47" s="36"/>
      <c r="H47" s="37"/>
      <c r="I47" s="38"/>
      <c r="J47" s="39"/>
      <c r="K47" s="37"/>
      <c r="L47" s="40"/>
      <c r="M47" s="44"/>
      <c r="N47" s="27"/>
      <c r="O47" s="41"/>
      <c r="P47" s="25"/>
      <c r="Q47" s="42"/>
      <c r="R47" s="43"/>
      <c r="V47" s="37"/>
      <c r="W47" s="37"/>
    </row>
    <row r="48" spans="6:23" x14ac:dyDescent="0.25">
      <c r="F48" s="35"/>
      <c r="G48" s="36"/>
      <c r="H48" s="37"/>
      <c r="I48" s="38"/>
      <c r="J48" s="39"/>
      <c r="K48" s="37"/>
      <c r="L48" s="40"/>
      <c r="M48" s="44"/>
      <c r="N48" s="27"/>
      <c r="O48" s="41"/>
      <c r="P48" s="25"/>
      <c r="Q48" s="42"/>
      <c r="R48" s="43"/>
      <c r="V48" s="37"/>
      <c r="W48" s="37"/>
    </row>
    <row r="49" spans="1:23" x14ac:dyDescent="0.25">
      <c r="F49" s="35"/>
      <c r="G49" s="36"/>
      <c r="H49" s="37"/>
      <c r="I49" s="38"/>
      <c r="J49" s="39"/>
      <c r="K49" s="37"/>
      <c r="L49" s="40"/>
      <c r="M49" s="44"/>
      <c r="N49" s="27"/>
      <c r="O49" s="41"/>
      <c r="P49" s="25"/>
      <c r="Q49" s="42"/>
      <c r="R49" s="43"/>
      <c r="V49" s="37"/>
      <c r="W49" s="37"/>
    </row>
    <row r="50" spans="1:23" x14ac:dyDescent="0.25">
      <c r="F50" s="35"/>
      <c r="G50" s="36"/>
      <c r="H50" s="37"/>
      <c r="I50" s="38"/>
      <c r="J50" s="39"/>
      <c r="K50" s="37"/>
      <c r="L50" s="40"/>
      <c r="M50" s="44"/>
      <c r="N50" s="27"/>
      <c r="O50" s="41"/>
      <c r="P50" s="25"/>
      <c r="Q50" s="42"/>
      <c r="R50" s="43"/>
      <c r="V50" s="37"/>
      <c r="W50" s="37"/>
    </row>
    <row r="51" spans="1:23" x14ac:dyDescent="0.25">
      <c r="F51" s="35"/>
      <c r="G51" s="36"/>
      <c r="H51" s="37"/>
      <c r="I51" s="38"/>
      <c r="J51" s="39"/>
      <c r="K51" s="37"/>
      <c r="L51" s="40"/>
      <c r="M51" s="44"/>
      <c r="N51" s="27"/>
      <c r="O51" s="41"/>
      <c r="P51" s="25"/>
      <c r="Q51" s="42"/>
      <c r="R51" s="43"/>
      <c r="V51" s="37"/>
      <c r="W51" s="37"/>
    </row>
    <row r="52" spans="1:23" x14ac:dyDescent="0.25">
      <c r="F52" s="35"/>
      <c r="G52" s="36"/>
      <c r="H52" s="37"/>
      <c r="I52" s="38"/>
      <c r="J52" s="39"/>
      <c r="K52" s="37"/>
      <c r="L52" s="40"/>
      <c r="M52" s="44"/>
      <c r="N52" s="27"/>
      <c r="O52" s="41"/>
      <c r="P52" s="25"/>
      <c r="Q52" s="42"/>
      <c r="R52" s="43"/>
      <c r="V52" s="37"/>
      <c r="W52" s="37"/>
    </row>
    <row r="53" spans="1:23" x14ac:dyDescent="0.25">
      <c r="F53" s="35"/>
      <c r="G53" s="36"/>
      <c r="H53" s="37"/>
      <c r="I53" s="38"/>
      <c r="J53" s="39"/>
      <c r="K53" s="37"/>
      <c r="L53" s="40"/>
      <c r="M53" s="44"/>
      <c r="N53" s="27"/>
      <c r="O53" s="41"/>
      <c r="P53" s="25"/>
      <c r="Q53" s="42"/>
      <c r="R53" s="43"/>
      <c r="V53" s="37"/>
      <c r="W53" s="37"/>
    </row>
    <row r="54" spans="1:23" x14ac:dyDescent="0.25">
      <c r="F54" s="35"/>
      <c r="G54" s="36"/>
      <c r="H54" s="37"/>
      <c r="I54" s="38"/>
      <c r="J54" s="39"/>
      <c r="K54" s="37"/>
      <c r="L54" s="40"/>
      <c r="M54" s="44"/>
      <c r="N54" s="27"/>
      <c r="O54" s="41"/>
      <c r="P54" s="25"/>
      <c r="Q54" s="42"/>
      <c r="R54" s="43"/>
      <c r="V54" s="37"/>
      <c r="W54" s="37"/>
    </row>
    <row r="55" spans="1:23" x14ac:dyDescent="0.25">
      <c r="F55" s="35"/>
      <c r="G55" s="36"/>
      <c r="H55" s="37"/>
      <c r="I55" s="38"/>
      <c r="J55" s="39"/>
      <c r="K55" s="37"/>
      <c r="L55" s="40"/>
      <c r="M55" s="44"/>
      <c r="N55" s="27"/>
      <c r="O55" s="41"/>
      <c r="P55" s="25"/>
      <c r="Q55" s="42"/>
      <c r="R55" s="43"/>
      <c r="V55" s="37"/>
      <c r="W55" s="37"/>
    </row>
    <row r="56" spans="1:23" x14ac:dyDescent="0.25">
      <c r="F56" s="35"/>
      <c r="G56" s="36"/>
      <c r="H56" s="37"/>
      <c r="I56" s="38"/>
      <c r="J56" s="39"/>
      <c r="K56" s="37"/>
      <c r="L56" s="40"/>
      <c r="M56" s="44"/>
      <c r="N56" s="27"/>
      <c r="O56" s="41"/>
      <c r="P56" s="25"/>
      <c r="Q56" s="42"/>
      <c r="R56" s="43"/>
      <c r="V56" s="37"/>
      <c r="W56" s="37"/>
    </row>
    <row r="57" spans="1:23" x14ac:dyDescent="0.25">
      <c r="F57" s="35"/>
      <c r="G57" s="36"/>
      <c r="H57" s="37"/>
      <c r="I57" s="38"/>
      <c r="J57" s="39"/>
      <c r="K57" s="37"/>
      <c r="L57" s="40"/>
      <c r="M57" s="44"/>
      <c r="N57" s="27"/>
      <c r="O57" s="41"/>
      <c r="P57" s="25"/>
      <c r="Q57" s="42"/>
      <c r="R57" s="43"/>
      <c r="V57" s="37"/>
      <c r="W57" s="37"/>
    </row>
    <row r="58" spans="1:23" x14ac:dyDescent="0.25">
      <c r="F58" s="35"/>
      <c r="G58" s="36"/>
      <c r="H58" s="37"/>
      <c r="I58" s="38"/>
      <c r="J58" s="39"/>
      <c r="K58" s="37"/>
      <c r="L58" s="40"/>
      <c r="M58" s="44"/>
      <c r="N58" s="27"/>
      <c r="O58" s="41"/>
      <c r="P58" s="25"/>
      <c r="Q58" s="42"/>
      <c r="R58" s="43"/>
      <c r="V58" s="37"/>
      <c r="W58" s="37"/>
    </row>
    <row r="59" spans="1:23" x14ac:dyDescent="0.25">
      <c r="F59" s="35"/>
      <c r="G59" s="36"/>
      <c r="H59" s="37"/>
      <c r="I59" s="38"/>
      <c r="J59" s="39"/>
      <c r="K59" s="37"/>
      <c r="L59" s="40"/>
      <c r="M59" s="44"/>
      <c r="N59" s="27"/>
      <c r="O59" s="41"/>
      <c r="P59" s="25"/>
      <c r="Q59" s="42"/>
      <c r="R59" s="43"/>
      <c r="V59" s="37"/>
      <c r="W59" s="37"/>
    </row>
    <row r="60" spans="1:23" x14ac:dyDescent="0.25">
      <c r="F60" s="35"/>
      <c r="G60" s="36"/>
      <c r="H60" s="37"/>
      <c r="I60" s="38"/>
      <c r="J60" s="39"/>
      <c r="K60" s="37"/>
      <c r="L60" s="40"/>
      <c r="M60" s="44"/>
      <c r="N60" s="27"/>
      <c r="O60" s="41"/>
      <c r="P60" s="25"/>
      <c r="Q60" s="42"/>
      <c r="R60" s="43"/>
      <c r="V60" s="37"/>
      <c r="W60" s="37"/>
    </row>
    <row r="61" spans="1:23" x14ac:dyDescent="0.25">
      <c r="A61" t="s">
        <v>10</v>
      </c>
      <c r="E61" s="8" t="s">
        <v>13</v>
      </c>
      <c r="F61" s="17">
        <f>Q62*1000/(400*SQRT(3))</f>
        <v>0</v>
      </c>
      <c r="M61" s="8" t="s">
        <v>12</v>
      </c>
      <c r="N61" s="31" t="str">
        <f>IFERROR(R62/Q62,"")</f>
        <v/>
      </c>
      <c r="Q61" s="18">
        <f>SUBTOTAL(109,Table1[S2])-Q8</f>
        <v>0</v>
      </c>
      <c r="R61" s="19">
        <f>SUBTOTAL(109,Table1[P3])-R8</f>
        <v>0</v>
      </c>
      <c r="S61" t="s">
        <v>158</v>
      </c>
    </row>
    <row r="62" spans="1:23" x14ac:dyDescent="0.25">
      <c r="A62" s="11" t="s">
        <v>11</v>
      </c>
      <c r="B62" s="11"/>
      <c r="C62" s="11"/>
      <c r="D62" s="11"/>
      <c r="E62" s="20"/>
      <c r="F62" s="21"/>
      <c r="G62" s="11"/>
      <c r="H62" s="11"/>
      <c r="I62" s="11"/>
      <c r="J62" s="11"/>
      <c r="K62" s="11"/>
      <c r="L62" s="11"/>
      <c r="M62" s="20"/>
      <c r="N62" s="22"/>
      <c r="O62" s="20" t="s">
        <v>157</v>
      </c>
      <c r="P62" s="47">
        <v>0.4</v>
      </c>
      <c r="Q62" s="23">
        <f>Table1[[#Totals],[S2]]*P62</f>
        <v>0</v>
      </c>
      <c r="R62" s="24">
        <f>Table1[[#Totals],[P3]]*P62</f>
        <v>0</v>
      </c>
      <c r="S62" s="21">
        <f>Q62*1000/400*(3^(1/2))</f>
        <v>0</v>
      </c>
      <c r="T62" s="11"/>
      <c r="U62" s="11"/>
      <c r="V62" s="9"/>
      <c r="W62" s="9"/>
    </row>
  </sheetData>
  <dataConsolidate/>
  <phoneticPr fontId="2" type="noConversion"/>
  <dataValidations count="1">
    <dataValidation type="list" allowBlank="1" showInputMessage="1" showErrorMessage="1" sqref="K3" xr:uid="{0EDE4285-EFED-4D65-9282-98EC48821428}">
      <formula1>"mm2,mm²"</formula1>
    </dataValidation>
  </dataValidations>
  <pageMargins left="0.7" right="0.7" top="0.78740157499999996" bottom="0.78740157499999996" header="0.3" footer="0.3"/>
  <pageSetup paperSize="8" fitToWidth="0" fitToHeight="0" orientation="landscape" r:id="rId1"/>
  <headerFooter>
    <oddHeader>&amp;R&amp;D   &amp;P|&amp;N</oddHeader>
    <oddFooter>&amp;C&amp;"-,Fett"&amp;8PZM Ingenieure für Gebäudetechnik&amp;"-,Standard"   -   Zürich l Luzern l Horw   -   044 421 19 19   -   info@pzm.ch   -   www.pzm.ch</oddFooter>
  </headerFooter>
  <drawing r:id="rId2"/>
  <legacyDrawing r:id="rId3"/>
  <controls>
    <mc:AlternateContent xmlns:mc="http://schemas.openxmlformats.org/markup-compatibility/2006">
      <mc:Choice Requires="x14">
        <control shapeId="10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4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38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autoPict="0" r:id="rId7">
            <anchor moveWithCells="1">
              <from>
                <xdr:col>3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25" r:id="rId6" name="CommandButton1"/>
      </mc:Fallback>
    </mc:AlternateContent>
  </controls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40B8C49-8051-4B0E-B075-5D1BE1568536}">
          <x14:formula1>
            <xm:f>Lookup!$A$2:$A$61</xm:f>
          </x14:formula1>
          <xm:sqref>H8:H60</xm:sqref>
        </x14:dataValidation>
        <x14:dataValidation type="list" allowBlank="1" showInputMessage="1" showErrorMessage="1" xr:uid="{1842CFB4-4E2A-482B-8F92-12AFF14ECC5D}">
          <x14:formula1>
            <xm:f>Lookup!$C$2:$C$4</xm:f>
          </x14:formula1>
          <xm:sqref>I8:I60</xm:sqref>
        </x14:dataValidation>
        <x14:dataValidation type="list" allowBlank="1" showInputMessage="1" showErrorMessage="1" xr:uid="{DF3547B4-92B7-4303-9C7A-8EB7CF5C1C30}">
          <x14:formula1>
            <xm:f>Lookup!$E$2:$E$4</xm:f>
          </x14:formula1>
          <xm:sqref>J8:J60</xm:sqref>
        </x14:dataValidation>
        <x14:dataValidation type="list" allowBlank="1" showInputMessage="1" showErrorMessage="1" xr:uid="{3A4B4F2D-3174-4538-812A-1B890DE4F497}">
          <x14:formula1>
            <xm:f>Lookup!$H$2:$H$4</xm:f>
          </x14:formula1>
          <xm:sqref>K8:K60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0A611-4163-4F1B-A650-DA9B1C0161B2}">
  <sheetPr codeName="Tabelle1"/>
  <dimension ref="A1:I61"/>
  <sheetViews>
    <sheetView zoomScale="115" zoomScaleNormal="115" workbookViewId="0">
      <selection activeCell="J1" sqref="J1:M1048576"/>
    </sheetView>
  </sheetViews>
  <sheetFormatPr baseColWidth="10" defaultColWidth="11.42578125" defaultRowHeight="15" x14ac:dyDescent="0.25"/>
  <cols>
    <col min="1" max="1" width="17.85546875" customWidth="1"/>
    <col min="3" max="3" width="15" customWidth="1"/>
    <col min="5" max="5" width="19" customWidth="1"/>
    <col min="8" max="8" width="14.5703125" customWidth="1"/>
  </cols>
  <sheetData>
    <row r="1" spans="1:9" x14ac:dyDescent="0.25">
      <c r="A1" t="s">
        <v>98</v>
      </c>
      <c r="C1" t="s">
        <v>99</v>
      </c>
      <c r="E1" t="s">
        <v>100</v>
      </c>
      <c r="F1" t="s">
        <v>121</v>
      </c>
      <c r="H1" t="s">
        <v>101</v>
      </c>
      <c r="I1" t="s">
        <v>121</v>
      </c>
    </row>
    <row r="2" spans="1:9" x14ac:dyDescent="0.25">
      <c r="A2" t="s">
        <v>93</v>
      </c>
      <c r="C2" t="s">
        <v>118</v>
      </c>
      <c r="E2" t="s">
        <v>104</v>
      </c>
      <c r="F2">
        <v>0</v>
      </c>
      <c r="H2" t="s">
        <v>105</v>
      </c>
      <c r="I2">
        <v>0</v>
      </c>
    </row>
    <row r="3" spans="1:9" x14ac:dyDescent="0.25">
      <c r="A3" t="s">
        <v>94</v>
      </c>
      <c r="C3" t="s">
        <v>119</v>
      </c>
      <c r="E3" t="s">
        <v>102</v>
      </c>
      <c r="F3">
        <v>1</v>
      </c>
      <c r="H3" t="s">
        <v>106</v>
      </c>
      <c r="I3">
        <v>1</v>
      </c>
    </row>
    <row r="4" spans="1:9" x14ac:dyDescent="0.25">
      <c r="A4" t="s">
        <v>95</v>
      </c>
      <c r="C4" t="s">
        <v>120</v>
      </c>
      <c r="E4" t="s">
        <v>103</v>
      </c>
      <c r="F4">
        <v>2</v>
      </c>
      <c r="H4" t="s">
        <v>104</v>
      </c>
      <c r="I4">
        <v>2</v>
      </c>
    </row>
    <row r="5" spans="1:9" x14ac:dyDescent="0.25">
      <c r="A5" t="s">
        <v>96</v>
      </c>
    </row>
    <row r="6" spans="1:9" x14ac:dyDescent="0.25">
      <c r="A6" t="s">
        <v>97</v>
      </c>
    </row>
    <row r="7" spans="1:9" x14ac:dyDescent="0.25">
      <c r="A7" t="s">
        <v>43</v>
      </c>
    </row>
    <row r="8" spans="1:9" x14ac:dyDescent="0.25">
      <c r="A8" t="s">
        <v>48</v>
      </c>
    </row>
    <row r="9" spans="1:9" x14ac:dyDescent="0.25">
      <c r="A9" t="s">
        <v>49</v>
      </c>
    </row>
    <row r="10" spans="1:9" x14ac:dyDescent="0.25">
      <c r="A10" t="s">
        <v>50</v>
      </c>
    </row>
    <row r="11" spans="1:9" x14ac:dyDescent="0.25">
      <c r="A11" t="s">
        <v>51</v>
      </c>
    </row>
    <row r="12" spans="1:9" x14ac:dyDescent="0.25">
      <c r="A12" t="s">
        <v>40</v>
      </c>
    </row>
    <row r="13" spans="1:9" x14ac:dyDescent="0.25">
      <c r="A13" t="s">
        <v>52</v>
      </c>
    </row>
    <row r="14" spans="1:9" x14ac:dyDescent="0.25">
      <c r="A14" t="s">
        <v>53</v>
      </c>
    </row>
    <row r="15" spans="1:9" x14ac:dyDescent="0.25">
      <c r="A15" t="s">
        <v>54</v>
      </c>
    </row>
    <row r="16" spans="1:9" x14ac:dyDescent="0.25">
      <c r="A16" t="s">
        <v>45</v>
      </c>
    </row>
    <row r="17" spans="1:1" x14ac:dyDescent="0.25">
      <c r="A17" t="s">
        <v>59</v>
      </c>
    </row>
    <row r="18" spans="1:1" x14ac:dyDescent="0.25">
      <c r="A18" t="s">
        <v>64</v>
      </c>
    </row>
    <row r="19" spans="1:1" x14ac:dyDescent="0.25">
      <c r="A19" t="s">
        <v>69</v>
      </c>
    </row>
    <row r="20" spans="1:1" x14ac:dyDescent="0.25">
      <c r="A20" t="s">
        <v>47</v>
      </c>
    </row>
    <row r="21" spans="1:1" x14ac:dyDescent="0.25">
      <c r="A21" t="s">
        <v>78</v>
      </c>
    </row>
    <row r="22" spans="1:1" x14ac:dyDescent="0.25">
      <c r="A22" t="s">
        <v>83</v>
      </c>
    </row>
    <row r="23" spans="1:1" x14ac:dyDescent="0.25">
      <c r="A23" t="s">
        <v>88</v>
      </c>
    </row>
    <row r="24" spans="1:1" x14ac:dyDescent="0.25">
      <c r="A24" t="s">
        <v>55</v>
      </c>
    </row>
    <row r="25" spans="1:1" x14ac:dyDescent="0.25">
      <c r="A25" t="s">
        <v>60</v>
      </c>
    </row>
    <row r="26" spans="1:1" x14ac:dyDescent="0.25">
      <c r="A26" t="s">
        <v>65</v>
      </c>
    </row>
    <row r="27" spans="1:1" x14ac:dyDescent="0.25">
      <c r="A27" t="s">
        <v>70</v>
      </c>
    </row>
    <row r="28" spans="1:1" x14ac:dyDescent="0.25">
      <c r="A28" t="s">
        <v>74</v>
      </c>
    </row>
    <row r="29" spans="1:1" x14ac:dyDescent="0.25">
      <c r="A29" t="s">
        <v>79</v>
      </c>
    </row>
    <row r="30" spans="1:1" x14ac:dyDescent="0.25">
      <c r="A30" t="s">
        <v>84</v>
      </c>
    </row>
    <row r="31" spans="1:1" x14ac:dyDescent="0.25">
      <c r="A31" t="s">
        <v>89</v>
      </c>
    </row>
    <row r="32" spans="1:1" x14ac:dyDescent="0.25">
      <c r="A32" t="s">
        <v>56</v>
      </c>
    </row>
    <row r="33" spans="1:1" x14ac:dyDescent="0.25">
      <c r="A33" t="s">
        <v>61</v>
      </c>
    </row>
    <row r="34" spans="1:1" x14ac:dyDescent="0.25">
      <c r="A34" t="s">
        <v>66</v>
      </c>
    </row>
    <row r="35" spans="1:1" x14ac:dyDescent="0.25">
      <c r="A35" t="s">
        <v>71</v>
      </c>
    </row>
    <row r="36" spans="1:1" x14ac:dyDescent="0.25">
      <c r="A36" t="s">
        <v>75</v>
      </c>
    </row>
    <row r="37" spans="1:1" x14ac:dyDescent="0.25">
      <c r="A37" t="s">
        <v>80</v>
      </c>
    </row>
    <row r="38" spans="1:1" x14ac:dyDescent="0.25">
      <c r="A38" t="s">
        <v>85</v>
      </c>
    </row>
    <row r="39" spans="1:1" x14ac:dyDescent="0.25">
      <c r="A39" t="s">
        <v>90</v>
      </c>
    </row>
    <row r="40" spans="1:1" x14ac:dyDescent="0.25">
      <c r="A40" t="s">
        <v>57</v>
      </c>
    </row>
    <row r="41" spans="1:1" x14ac:dyDescent="0.25">
      <c r="A41" t="s">
        <v>62</v>
      </c>
    </row>
    <row r="42" spans="1:1" x14ac:dyDescent="0.25">
      <c r="A42" t="s">
        <v>67</v>
      </c>
    </row>
    <row r="43" spans="1:1" x14ac:dyDescent="0.25">
      <c r="A43" t="s">
        <v>72</v>
      </c>
    </row>
    <row r="44" spans="1:1" x14ac:dyDescent="0.25">
      <c r="A44" t="s">
        <v>76</v>
      </c>
    </row>
    <row r="45" spans="1:1" x14ac:dyDescent="0.25">
      <c r="A45" t="s">
        <v>81</v>
      </c>
    </row>
    <row r="46" spans="1:1" x14ac:dyDescent="0.25">
      <c r="A46" t="s">
        <v>86</v>
      </c>
    </row>
    <row r="47" spans="1:1" x14ac:dyDescent="0.25">
      <c r="A47" t="s">
        <v>91</v>
      </c>
    </row>
    <row r="48" spans="1:1" x14ac:dyDescent="0.25">
      <c r="A48" t="s">
        <v>58</v>
      </c>
    </row>
    <row r="49" spans="1:1" x14ac:dyDescent="0.25">
      <c r="A49" t="s">
        <v>63</v>
      </c>
    </row>
    <row r="50" spans="1:1" x14ac:dyDescent="0.25">
      <c r="A50" t="s">
        <v>68</v>
      </c>
    </row>
    <row r="51" spans="1:1" x14ac:dyDescent="0.25">
      <c r="A51" t="s">
        <v>73</v>
      </c>
    </row>
    <row r="52" spans="1:1" x14ac:dyDescent="0.25">
      <c r="A52" t="s">
        <v>77</v>
      </c>
    </row>
    <row r="53" spans="1:1" x14ac:dyDescent="0.25">
      <c r="A53" t="s">
        <v>82</v>
      </c>
    </row>
    <row r="54" spans="1:1" x14ac:dyDescent="0.25">
      <c r="A54" t="s">
        <v>87</v>
      </c>
    </row>
    <row r="55" spans="1:1" x14ac:dyDescent="0.25">
      <c r="A55" t="s">
        <v>92</v>
      </c>
    </row>
    <row r="56" spans="1:1" x14ac:dyDescent="0.25">
      <c r="A56" t="s">
        <v>109</v>
      </c>
    </row>
    <row r="57" spans="1:1" x14ac:dyDescent="0.25">
      <c r="A57" t="s">
        <v>110</v>
      </c>
    </row>
    <row r="58" spans="1:1" x14ac:dyDescent="0.25">
      <c r="A58" t="s">
        <v>111</v>
      </c>
    </row>
    <row r="59" spans="1:1" x14ac:dyDescent="0.25">
      <c r="A59" t="s">
        <v>112</v>
      </c>
    </row>
    <row r="60" spans="1:1" x14ac:dyDescent="0.25">
      <c r="A60" t="s">
        <v>113</v>
      </c>
    </row>
    <row r="61" spans="1:1" x14ac:dyDescent="0.25">
      <c r="A61" t="s">
        <v>117</v>
      </c>
    </row>
  </sheetData>
  <phoneticPr fontId="2" type="noConversion"/>
  <pageMargins left="0.7" right="0.7" top="0.78740157499999996" bottom="0.78740157499999996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LengthInSeconds xmlns="22cae0ad-18ca-49de-b5b7-37f6f73e1fb8" xsi:nil="true"/>
    <SharedWithUsers xmlns="705ca2bb-2b06-4eba-b7ca-a2a753449dd9">
      <UserInfo>
        <DisplayName/>
        <AccountId xsi:nil="true"/>
        <AccountType/>
      </UserInfo>
    </SharedWithUsers>
    <lcf76f155ced4ddcb4097134ff3c332f xmlns="22cae0ad-18ca-49de-b5b7-37f6f73e1fb8">
      <Terms xmlns="http://schemas.microsoft.com/office/infopath/2007/PartnerControls"/>
    </lcf76f155ced4ddcb4097134ff3c332f>
    <TaxCatchAll xmlns="705ca2bb-2b06-4eba-b7ca-a2a753449dd9" xsi:nil="true"/>
    <_ip_UnifiedCompliancePolicyUIAction xmlns="http://schemas.microsoft.com/sharepoint/v3" xsi:nil="true"/>
    <_ip_UnifiedCompliancePolicyProperties xmlns="http://schemas.microsoft.com/sharepoint/v3" xsi:nil="true"/>
    <_dlc_DocId xmlns="705ca2bb-2b06-4eba-b7ca-a2a753449dd9">PYAJQM2RCTJ4-1076610566-843489</_dlc_DocId>
    <_dlc_DocIdUrl xmlns="705ca2bb-2b06-4eba-b7ca-a2a753449dd9">
      <Url>https://rebsamennet.sharepoint.com/sites/restricted/_layouts/15/DocIdRedir.aspx?ID=PYAJQM2RCTJ4-1076610566-843489</Url>
      <Description>PYAJQM2RCTJ4-1076610566-843489</Description>
    </_dlc_DocIdUrl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4C92DB06038A1342B5A06649C2A22EAB" ma:contentTypeVersion="18" ma:contentTypeDescription="Ein neues Dokument erstellen." ma:contentTypeScope="" ma:versionID="bc76dd6cd7799ec0937ef1e6120e27fe">
  <xsd:schema xmlns:xsd="http://www.w3.org/2001/XMLSchema" xmlns:xs="http://www.w3.org/2001/XMLSchema" xmlns:p="http://schemas.microsoft.com/office/2006/metadata/properties" xmlns:ns1="http://schemas.microsoft.com/sharepoint/v3" xmlns:ns2="705ca2bb-2b06-4eba-b7ca-a2a753449dd9" xmlns:ns3="22cae0ad-18ca-49de-b5b7-37f6f73e1fb8" targetNamespace="http://schemas.microsoft.com/office/2006/metadata/properties" ma:root="true" ma:fieldsID="7923cef35df3b96e354e9e03df20f82b" ns1:_="" ns2:_="" ns3:_="">
    <xsd:import namespace="http://schemas.microsoft.com/sharepoint/v3"/>
    <xsd:import namespace="705ca2bb-2b06-4eba-b7ca-a2a753449dd9"/>
    <xsd:import namespace="22cae0ad-18ca-49de-b5b7-37f6f73e1fb8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Eigenschaften der einheitlichen Compliancerichtlinie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UI-Aktion der einheitlichen Compliancerichtlinie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05ca2bb-2b06-4eba-b7ca-a2a753449dd9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Wert der Dokument-ID" ma:description="Der Wert der diesem Element zugewiesenen Dokument-ID." ma:indexed="true" ma:internalName="_dlc_DocId" ma:readOnly="true">
      <xsd:simpleType>
        <xsd:restriction base="dms:Text"/>
      </xsd:simpleType>
    </xsd:element>
    <xsd:element name="_dlc_DocIdUrl" ma:index="9" nillable="true" ma:displayName="Dokument-ID" ma:description="Permanenter Hyperlink zu diesem Dok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11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8" nillable="true" ma:displayName="Taxonomy Catch All Column" ma:hidden="true" ma:list="{421fae35-4ab8-4e06-ba07-bf809bfa597d}" ma:internalName="TaxCatchAll" ma:showField="CatchAllData" ma:web="705ca2bb-2b06-4eba-b7ca-a2a753449dd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cae0ad-18ca-49de-b5b7-37f6f73e1fb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7" nillable="true" ma:taxonomy="true" ma:internalName="lcf76f155ced4ddcb4097134ff3c332f" ma:taxonomyFieldName="MediaServiceImageTags" ma:displayName="Bildmarkierungen" ma:readOnly="false" ma:fieldId="{5cf76f15-5ced-4ddc-b409-7134ff3c332f}" ma:taxonomyMulti="true" ma:sspId="e19c7fb4-b992-4aaa-ae69-373e14cc0ee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BF9564E-FDAB-4DE9-91FE-E7BD9022852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9C5B08C-23A7-4552-8977-5E00F4F44455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599A1284-7A0D-459E-8552-0860A060053A}">
  <ds:schemaRefs>
    <ds:schemaRef ds:uri="http://schemas.microsoft.com/office/2006/metadata/properties"/>
    <ds:schemaRef ds:uri="http://schemas.microsoft.com/office/infopath/2007/PartnerControls"/>
    <ds:schemaRef ds:uri="705ca2bb-2b06-4eba-b7ca-a2a753449dd9"/>
    <ds:schemaRef ds:uri="http://schemas.microsoft.com/sharepoint/v3"/>
    <ds:schemaRef ds:uri="c31dda92-942a-46bf-8bf5-6e4eaa606b87"/>
    <ds:schemaRef ds:uri="95cc5f1e-71f7-4160-bba1-16977217fdab"/>
    <ds:schemaRef ds:uri="22cae0ad-18ca-49de-b5b7-37f6f73e1fb8"/>
  </ds:schemaRefs>
</ds:datastoreItem>
</file>

<file path=customXml/itemProps4.xml><?xml version="1.0" encoding="utf-8"?>
<ds:datastoreItem xmlns:ds="http://schemas.openxmlformats.org/officeDocument/2006/customXml" ds:itemID="{D9217F1B-4AD8-4A58-B72D-3618FAF641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05ca2bb-2b06-4eba-b7ca-a2a753449dd9"/>
    <ds:schemaRef ds:uri="22cae0ad-18ca-49de-b5b7-37f6f73e1f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E.HV.01.05.03</vt:lpstr>
      <vt:lpstr>Lookup</vt:lpstr>
      <vt:lpstr>DataRng</vt:lpstr>
      <vt:lpstr>E.HV.01.05.03!Druckbereich</vt:lpstr>
      <vt:lpstr>Projektbezeichnung</vt:lpstr>
      <vt:lpstr>Projektnummer</vt:lpstr>
      <vt:lpstr>Projektpfad</vt:lpstr>
      <vt:lpstr>Projektphase</vt:lpstr>
      <vt:lpstr>SBEZ1</vt:lpstr>
      <vt:lpstr>SBEZ2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HV.02.02.E.GES.xlsm</dc:title>
  <dc:creator>Orlando Bassi</dc:creator>
  <cp:lastModifiedBy>Orlando Bassi</cp:lastModifiedBy>
  <cp:lastPrinted>2023-01-09T10:03:08Z</cp:lastPrinted>
  <dcterms:created xsi:type="dcterms:W3CDTF">2011-03-01T10:25:08Z</dcterms:created>
  <dcterms:modified xsi:type="dcterms:W3CDTF">2023-11-29T10:12:01Z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0x0101004C92DB06038A1342B5A06649C2A22EAB</vt:lpwstr>
  </property>
  <property fmtid="{D5CDD505-2E9C-101B-9397-08002B2CF9AE}" pid="3" name="_dlc_DocIdItemGuid">
    <vt:lpwstr>d9b07fc9-859b-4e65-83a4-b7e50b103611</vt:lpwstr>
  </property>
  <property fmtid="{D5CDD505-2E9C-101B-9397-08002B2CF9AE}" pid="4" name="xd_ProgID">
    <vt:lpwstr/>
  </property>
  <property fmtid="{D5CDD505-2E9C-101B-9397-08002B2CF9AE}" pid="5" name="_dlc_DocId">
    <vt:lpwstr>PYAJQM2RCTJ4-1076610566-764842</vt:lpwstr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_ExtendedDescription">
    <vt:lpwstr/>
  </property>
  <property fmtid="{D5CDD505-2E9C-101B-9397-08002B2CF9AE}" pid="9" name="TriggerFlowInfo">
    <vt:lpwstr/>
  </property>
  <property fmtid="{D5CDD505-2E9C-101B-9397-08002B2CF9AE}" pid="10" name="_dlc_DocIdUrl">
    <vt:lpwstr>https://rebsamennet.sharepoint.com/sites/restricted/_layouts/15/DocIdRedir.aspx?ID=PYAJQM2RCTJ4-1076610566-764842, PYAJQM2RCTJ4-1076610566-764842</vt:lpwstr>
  </property>
  <property fmtid="{D5CDD505-2E9C-101B-9397-08002B2CF9AE}" pid="11" name="xd_Signature">
    <vt:bool>false</vt:bool>
  </property>
  <property fmtid="{D5CDD505-2E9C-101B-9397-08002B2CF9AE}" pid="12" name="MediaServiceImageTags">
    <vt:lpwstr/>
  </property>
</Properties>
</file>